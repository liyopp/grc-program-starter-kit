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coring Guide" sheetId="2" state="visible" r:id="rId4"/>
  </sheets>
  <definedNames>
    <definedName function="false" hidden="true" localSheetId="0" name="_xlnm._FilterDatabase" vbProcedure="false">'Risk Register'!$A$2:$O$14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<sst xmlns="http://schemas.openxmlformats.org/spreadsheetml/2006/main" count="182" uniqueCount="134">
  <si>
    <t xml:space="preserve">MedBridge Supply Co. — Information Security Risk Register</t>
  </si>
  <si>
    <t xml:space="preserve">Risk ID</t>
  </si>
  <si>
    <t xml:space="preserve">Risk Category</t>
  </si>
  <si>
    <t xml:space="preserve">Risk Title</t>
  </si>
  <si>
    <t xml:space="preserve">Risk Description</t>
  </si>
  <si>
    <t xml:space="preserve">Threat Source</t>
  </si>
  <si>
    <t xml:space="preserve">Likelihood (1–5)</t>
  </si>
  <si>
    <t xml:space="preserve">Impact (1–5)</t>
  </si>
  <si>
    <t xml:space="preserve">Inherent Risk Score</t>
  </si>
  <si>
    <t xml:space="preserve">Risk Rating</t>
  </si>
  <si>
    <t xml:space="preserve">Existing Controls</t>
  </si>
  <si>
    <t xml:space="preserve">Residual Risk (Est.)</t>
  </si>
  <si>
    <t xml:space="preserve">Recommended Treatment</t>
  </si>
  <si>
    <t xml:space="preserve">Risk Owner</t>
  </si>
  <si>
    <t xml:space="preserve">Target Remediation Date</t>
  </si>
  <si>
    <t xml:space="preserve">Status</t>
  </si>
  <si>
    <t xml:space="preserve">R-001</t>
  </si>
  <si>
    <t xml:space="preserve">Third-Party / Vendor</t>
  </si>
  <si>
    <t xml:space="preserve">Unvetted vendor access to eProcurement platform</t>
  </si>
  <si>
    <t xml:space="preserve">Third-party vendors onboarded without formal security review, creating risk of unauthorized access to client procurement data and PHI-adjacent records</t>
  </si>
  <si>
    <t xml:space="preserve">External / Supply Chain</t>
  </si>
  <si>
    <t xml:space="preserve">4</t>
  </si>
  <si>
    <t xml:space="preserve">5</t>
  </si>
  <si>
    <t xml:space="preserve">No formal vendor security questionnaire or access review process</t>
  </si>
  <si>
    <t xml:space="preserve">Implement vendor risk questionnaire and tiered onboarding process; restrict vendor access to least-privilege</t>
  </si>
  <si>
    <t xml:space="preserve">CISO / Procurement</t>
  </si>
  <si>
    <t xml:space="preserve">2025-09-30</t>
  </si>
  <si>
    <t xml:space="preserve">Open</t>
  </si>
  <si>
    <t xml:space="preserve">R-002</t>
  </si>
  <si>
    <t xml:space="preserve">Access Control</t>
  </si>
  <si>
    <t xml:space="preserve">Excessive privileged account access</t>
  </si>
  <si>
    <t xml:space="preserve">Admin accounts not reviewed regularly; terminated employee accounts may retain access to critical systems</t>
  </si>
  <si>
    <t xml:space="preserve">Internal / Operational</t>
  </si>
  <si>
    <t xml:space="preserve">3</t>
  </si>
  <si>
    <t xml:space="preserve">AD group management; offboarding checklist exists but not consistently followed</t>
  </si>
  <si>
    <t xml:space="preserve">Implement quarterly access reviews; automate offboarding via HR-IT integration</t>
  </si>
  <si>
    <t xml:space="preserve">IT Manager</t>
  </si>
  <si>
    <t xml:space="preserve">2025-08-31</t>
  </si>
  <si>
    <t xml:space="preserve">In Progress</t>
  </si>
  <si>
    <t xml:space="preserve">R-003</t>
  </si>
  <si>
    <t xml:space="preserve">Data Security</t>
  </si>
  <si>
    <t xml:space="preserve">Unencrypted sensitive data on endpoints</t>
  </si>
  <si>
    <t xml:space="preserve">Employee laptops not consistently encrypted; loss or theft exposes procurement and client data</t>
  </si>
  <si>
    <t xml:space="preserve">Internal / Physical</t>
  </si>
  <si>
    <t xml:space="preserve">Server-side encryption deployed; endpoint policy inconsistent</t>
  </si>
  <si>
    <t xml:space="preserve">Enforce full-disk encryption via MDM on all endpoints; verify compliance monthly</t>
  </si>
  <si>
    <t xml:space="preserve">IT Security</t>
  </si>
  <si>
    <t xml:space="preserve">2025-07-31</t>
  </si>
  <si>
    <t xml:space="preserve">R-004</t>
  </si>
  <si>
    <t xml:space="preserve">Incident Response</t>
  </si>
  <si>
    <t xml:space="preserve">No formal incident response plan</t>
  </si>
  <si>
    <t xml:space="preserve">Organization lacks documented IRP; response to data breach or ransomware would be uncoordinated and likely delayed</t>
  </si>
  <si>
    <t xml:space="preserve">Ad hoc incident handling; escalation path informal</t>
  </si>
  <si>
    <t xml:space="preserve">Develop IRP aligned to NIST 800-61; conduct tabletop exercise within 90 days of completion</t>
  </si>
  <si>
    <t xml:space="preserve">GRC Analyst</t>
  </si>
  <si>
    <t xml:space="preserve">2025-10-31</t>
  </si>
  <si>
    <t xml:space="preserve">R-005</t>
  </si>
  <si>
    <t xml:space="preserve">Business Continuity</t>
  </si>
  <si>
    <t xml:space="preserve">No documented BCP or DR plan</t>
  </si>
  <si>
    <t xml:space="preserve">Critical business functions and recovery procedures not documented; RTO/RPO not defined for eProcurement platform</t>
  </si>
  <si>
    <t xml:space="preserve">Manual backup procedures exist; untested and undocumented</t>
  </si>
  <si>
    <t xml:space="preserve">Develop BCP/DR plan; define RTO ≤ 4 hrs and RPO ≤ 24 hrs for critical systems; test annually</t>
  </si>
  <si>
    <t xml:space="preserve">IT Manager / GRC</t>
  </si>
  <si>
    <t xml:space="preserve">2025-11-30</t>
  </si>
  <si>
    <t xml:space="preserve">R-006</t>
  </si>
  <si>
    <t xml:space="preserve">Vulnerability Management</t>
  </si>
  <si>
    <t xml:space="preserve">Unpatched systems in production</t>
  </si>
  <si>
    <t xml:space="preserve">Inconsistent patch management process leaves systems exposed to known vulnerabilities; no formal SLA for critical patches</t>
  </si>
  <si>
    <t xml:space="preserve">Internal / Technical</t>
  </si>
  <si>
    <t xml:space="preserve">Patches applied manually on ad hoc basis; no tracking system</t>
  </si>
  <si>
    <t xml:space="preserve">Implement automated patch management with SLAs: Critical ≤ 7 days, High ≤ 30 days</t>
  </si>
  <si>
    <t xml:space="preserve">R-007</t>
  </si>
  <si>
    <t xml:space="preserve">Security Awareness</t>
  </si>
  <si>
    <t xml:space="preserve">Phishing susceptibility among staff</t>
  </si>
  <si>
    <t xml:space="preserve">No phishing simulation program in place; staff awareness of social engineering tactics untested and likely inadequate</t>
  </si>
  <si>
    <t xml:space="preserve">External / Human</t>
  </si>
  <si>
    <t xml:space="preserve">Annual security awareness training completed by most staff; no simulations</t>
  </si>
  <si>
    <t xml:space="preserve">Launch phishing simulation program (KnowBe4); target &lt; 5% click rate within 6 months</t>
  </si>
  <si>
    <t xml:space="preserve">R-008</t>
  </si>
  <si>
    <t xml:space="preserve">Configuration Management</t>
  </si>
  <si>
    <t xml:space="preserve">Hardening standards not applied</t>
  </si>
  <si>
    <t xml:space="preserve">No baseline security configurations defined for servers, endpoints, or cloud resources; systems may be deployed with insecure defaults</t>
  </si>
  <si>
    <t xml:space="preserve">Some manual hardening applied; no documented standard or automated compliance check</t>
  </si>
  <si>
    <t xml:space="preserve">Develop CIS Benchmark-aligned hardening standards; automate compliance scanning</t>
  </si>
  <si>
    <t xml:space="preserve">R-009</t>
  </si>
  <si>
    <t xml:space="preserve">Data Governance</t>
  </si>
  <si>
    <t xml:space="preserve">Absence of data classification policy</t>
  </si>
  <si>
    <t xml:space="preserve">Without a data classification policy, staff cannot identify sensitive data, leading to inconsistent handling, storage, and sharing of PHI-adjacent and financial data</t>
  </si>
  <si>
    <t xml:space="preserve">Data types informally understood; no written policy or labeling system</t>
  </si>
  <si>
    <t xml:space="preserve">Develop and publish data classification policy; train all staff within 60 days of publication</t>
  </si>
  <si>
    <t xml:space="preserve">GRC Analyst / Legal</t>
  </si>
  <si>
    <t xml:space="preserve">R-010</t>
  </si>
  <si>
    <t xml:space="preserve">Cloud Security</t>
  </si>
  <si>
    <t xml:space="preserve">Misconfigured cloud storage buckets</t>
  </si>
  <si>
    <t xml:space="preserve">Cloud storage (Azure Blob) not consistently configured with access controls; risk of inadvertent public exposure of client data</t>
  </si>
  <si>
    <t xml:space="preserve">Azure storage accounts provisioned; access control review not performed</t>
  </si>
  <si>
    <t xml:space="preserve">Conduct immediate cloud configuration review; implement Azure Policy for storage access enforcement</t>
  </si>
  <si>
    <t xml:space="preserve">2025-07-15</t>
  </si>
  <si>
    <t xml:space="preserve">R-011</t>
  </si>
  <si>
    <t xml:space="preserve">Regulatory Compliance</t>
  </si>
  <si>
    <t xml:space="preserve">HIPAA breach notification gap</t>
  </si>
  <si>
    <t xml:space="preserve">As a platform handling PHI-adjacent data, MedBridge may have breach notification obligations under HIPAA BAA terms; current process does not address 60-day notification requirement</t>
  </si>
  <si>
    <t xml:space="preserve">External / Regulatory</t>
  </si>
  <si>
    <t xml:space="preserve">BAAs in place with hospital clients; notification procedures not documented</t>
  </si>
  <si>
    <t xml:space="preserve">Document breach notification procedures; define triggers, timelines, and responsible parties</t>
  </si>
  <si>
    <t xml:space="preserve">R-012</t>
  </si>
  <si>
    <t xml:space="preserve">Physical Security</t>
  </si>
  <si>
    <t xml:space="preserve">Visitor access controls insufficient</t>
  </si>
  <si>
    <t xml:space="preserve">No formal visitor management process at Milwaukee HQ; visitors may access areas containing workstations with sensitive system access</t>
  </si>
  <si>
    <t xml:space="preserve">2</t>
  </si>
  <si>
    <t xml:space="preserve">Receptionist present during business hours; no sign-in log or escort policy</t>
  </si>
  <si>
    <t xml:space="preserve">Implement visitor management policy; require escort for non-public areas; maintain sign-in log</t>
  </si>
  <si>
    <t xml:space="preserve">Facilities / HR</t>
  </si>
  <si>
    <t xml:space="preserve">Risk Scoring Guide — MedBridge Supply Co.</t>
  </si>
  <si>
    <t xml:space="preserve">Inherent Risk Score = Likelihood (1–5) × Impact (1–5)</t>
  </si>
  <si>
    <t xml:space="preserve">Score Range</t>
  </si>
  <si>
    <t xml:space="preserve">Color</t>
  </si>
  <si>
    <t xml:space="preserve">Response</t>
  </si>
  <si>
    <t xml:space="preserve">20–25</t>
  </si>
  <si>
    <t xml:space="preserve">Critical</t>
  </si>
  <si>
    <t xml:space="preserve">Red</t>
  </si>
  <si>
    <t xml:space="preserve">Immediate action required — escalate to CISO and executive team within 24 hours</t>
  </si>
  <si>
    <t xml:space="preserve">12–19</t>
  </si>
  <si>
    <t xml:space="preserve">High</t>
  </si>
  <si>
    <t xml:space="preserve">Orange</t>
  </si>
  <si>
    <t xml:space="preserve">Remediate within 90 days — assign owner and include in project planning</t>
  </si>
  <si>
    <t xml:space="preserve">6–11</t>
  </si>
  <si>
    <t xml:space="preserve">Medium</t>
  </si>
  <si>
    <t xml:space="preserve">Yellow</t>
  </si>
  <si>
    <t xml:space="preserve">Remediate within 180 days — track in risk register and review monthly</t>
  </si>
  <si>
    <t xml:space="preserve">1–5</t>
  </si>
  <si>
    <t xml:space="preserve">Low</t>
  </si>
  <si>
    <t xml:space="preserve">Green</t>
  </si>
  <si>
    <t xml:space="preserve">Accept or monitor — review annually or when environment changes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</si>
</sst>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ED7D31"/>
        <bgColor rgb="FFFF8080"/>
      </patternFill>
    </fill>
    <fill>
      <patternFill patternType="solid">
        <fgColor rgb="FFFFD700"/>
        <bgColor rgb="FFFFFF00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4"/>
    <col collapsed="false" customWidth="true" hidden="false" outlineLevel="0" max="11" min="11" style="0" width="16"/>
    <col collapsed="false" customWidth="true" hidden="false" outlineLevel="0" max="12" min="12" style="0" width="48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customFormat="false" ht="35.0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4" t="n">
        <f aca="false">F3*G3</f>
        <v>20</v>
      </c>
      <c r="I3" s="4" t="str">
        <f aca="false">IF(H3&gt;=20,"Critical",IF(H3&gt;=12,"High",IF(H3&gt;=6,"Medium","Low")))</f>
        <v>Critical</v>
      </c>
      <c r="J3" s="3" t="s">
        <v>23</v>
      </c>
      <c r="K3" s="3"/>
      <c r="L3" s="3" t="s">
        <v>24</v>
      </c>
      <c r="M3" s="3" t="s">
        <v>25</v>
      </c>
      <c r="N3" s="3" t="s">
        <v>26</v>
      </c>
      <c r="O3" s="3" t="s">
        <v>27</v>
      </c>
    </row>
    <row r="4" customFormat="false" ht="23.85" hidden="false" customHeight="false" outlineLevel="0" collapsed="false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22</v>
      </c>
      <c r="H4" s="4" t="n">
        <f aca="false">F4*G4</f>
        <v>15</v>
      </c>
      <c r="I4" s="4" t="str">
        <f aca="false">IF(H4&gt;=20,"Critical",IF(H4&gt;=12,"High",IF(H4&gt;=6,"Medium","Low")))</f>
        <v>High</v>
      </c>
      <c r="J4" s="5" t="s">
        <v>34</v>
      </c>
      <c r="K4" s="5"/>
      <c r="L4" s="5" t="s">
        <v>35</v>
      </c>
      <c r="M4" s="5" t="s">
        <v>36</v>
      </c>
      <c r="N4" s="5" t="s">
        <v>37</v>
      </c>
      <c r="O4" s="5" t="s">
        <v>38</v>
      </c>
    </row>
    <row r="5" customFormat="false" ht="23.85" hidden="false" customHeight="false" outlineLevel="0" collapsed="false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33</v>
      </c>
      <c r="G5" s="3" t="s">
        <v>21</v>
      </c>
      <c r="H5" s="4" t="n">
        <f aca="false">F5*G5</f>
        <v>12</v>
      </c>
      <c r="I5" s="4" t="str">
        <f aca="false">IF(H5&gt;=20,"Critical",IF(H5&gt;=12,"High",IF(H5&gt;=6,"Medium","Low")))</f>
        <v>High</v>
      </c>
      <c r="J5" s="3" t="s">
        <v>44</v>
      </c>
      <c r="K5" s="3"/>
      <c r="L5" s="3" t="s">
        <v>45</v>
      </c>
      <c r="M5" s="3" t="s">
        <v>46</v>
      </c>
      <c r="N5" s="3" t="s">
        <v>47</v>
      </c>
      <c r="O5" s="3" t="s">
        <v>38</v>
      </c>
    </row>
    <row r="6" customFormat="false" ht="35.05" hidden="false" customHeight="false" outlineLevel="0" collapsed="false">
      <c r="A6" s="5" t="s">
        <v>48</v>
      </c>
      <c r="B6" s="5" t="s">
        <v>49</v>
      </c>
      <c r="C6" s="5" t="s">
        <v>50</v>
      </c>
      <c r="D6" s="5" t="s">
        <v>51</v>
      </c>
      <c r="E6" s="5" t="s">
        <v>32</v>
      </c>
      <c r="F6" s="5" t="s">
        <v>21</v>
      </c>
      <c r="G6" s="5" t="s">
        <v>22</v>
      </c>
      <c r="H6" s="4" t="n">
        <f aca="false">F6*G6</f>
        <v>20</v>
      </c>
      <c r="I6" s="4" t="str">
        <f aca="false">IF(H6&gt;=20,"Critical",IF(H6&gt;=12,"High",IF(H6&gt;=6,"Medium","Low")))</f>
        <v>Critical</v>
      </c>
      <c r="J6" s="5" t="s">
        <v>52</v>
      </c>
      <c r="K6" s="5"/>
      <c r="L6" s="5" t="s">
        <v>53</v>
      </c>
      <c r="M6" s="5" t="s">
        <v>54</v>
      </c>
      <c r="N6" s="5" t="s">
        <v>55</v>
      </c>
      <c r="O6" s="5" t="s">
        <v>27</v>
      </c>
    </row>
    <row r="7" customFormat="false" ht="35.05" hidden="false" customHeight="false" outlineLevel="0" collapsed="false">
      <c r="A7" s="3" t="s">
        <v>56</v>
      </c>
      <c r="B7" s="3" t="s">
        <v>57</v>
      </c>
      <c r="C7" s="3" t="s">
        <v>58</v>
      </c>
      <c r="D7" s="3" t="s">
        <v>59</v>
      </c>
      <c r="E7" s="3" t="s">
        <v>32</v>
      </c>
      <c r="F7" s="3" t="s">
        <v>33</v>
      </c>
      <c r="G7" s="3" t="s">
        <v>22</v>
      </c>
      <c r="H7" s="4" t="n">
        <f aca="false">F7*G7</f>
        <v>15</v>
      </c>
      <c r="I7" s="4" t="str">
        <f aca="false">IF(H7&gt;=20,"Critical",IF(H7&gt;=12,"High",IF(H7&gt;=6,"Medium","Low")))</f>
        <v>High</v>
      </c>
      <c r="J7" s="3" t="s">
        <v>60</v>
      </c>
      <c r="K7" s="3"/>
      <c r="L7" s="3" t="s">
        <v>61</v>
      </c>
      <c r="M7" s="3" t="s">
        <v>62</v>
      </c>
      <c r="N7" s="3" t="s">
        <v>63</v>
      </c>
      <c r="O7" s="3" t="s">
        <v>27</v>
      </c>
    </row>
    <row r="8" customFormat="false" ht="35.05" hidden="false" customHeight="false" outlineLevel="0" collapsed="false">
      <c r="A8" s="5" t="s">
        <v>64</v>
      </c>
      <c r="B8" s="5" t="s">
        <v>65</v>
      </c>
      <c r="C8" s="5" t="s">
        <v>66</v>
      </c>
      <c r="D8" s="5" t="s">
        <v>67</v>
      </c>
      <c r="E8" s="5" t="s">
        <v>68</v>
      </c>
      <c r="F8" s="5" t="s">
        <v>21</v>
      </c>
      <c r="G8" s="5" t="s">
        <v>21</v>
      </c>
      <c r="H8" s="4" t="n">
        <f aca="false">F8*G8</f>
        <v>16</v>
      </c>
      <c r="I8" s="4" t="str">
        <f aca="false">IF(H8&gt;=20,"Critical",IF(H8&gt;=12,"High",IF(H8&gt;=6,"Medium","Low")))</f>
        <v>High</v>
      </c>
      <c r="J8" s="5" t="s">
        <v>69</v>
      </c>
      <c r="K8" s="5"/>
      <c r="L8" s="5" t="s">
        <v>70</v>
      </c>
      <c r="M8" s="5" t="s">
        <v>46</v>
      </c>
      <c r="N8" s="5" t="s">
        <v>37</v>
      </c>
      <c r="O8" s="5" t="s">
        <v>27</v>
      </c>
    </row>
    <row r="9" customFormat="false" ht="23.85" hidden="false" customHeight="false" outlineLevel="0" collapsed="false">
      <c r="A9" s="3" t="s">
        <v>71</v>
      </c>
      <c r="B9" s="3" t="s">
        <v>72</v>
      </c>
      <c r="C9" s="3" t="s">
        <v>73</v>
      </c>
      <c r="D9" s="3" t="s">
        <v>74</v>
      </c>
      <c r="E9" s="3" t="s">
        <v>75</v>
      </c>
      <c r="F9" s="3" t="s">
        <v>21</v>
      </c>
      <c r="G9" s="3" t="s">
        <v>21</v>
      </c>
      <c r="H9" s="4" t="n">
        <f aca="false">F9*G9</f>
        <v>16</v>
      </c>
      <c r="I9" s="4" t="str">
        <f aca="false">IF(H9&gt;=20,"Critical",IF(H9&gt;=12,"High",IF(H9&gt;=6,"Medium","Low")))</f>
        <v>High</v>
      </c>
      <c r="J9" s="3" t="s">
        <v>76</v>
      </c>
      <c r="K9" s="3"/>
      <c r="L9" s="3" t="s">
        <v>77</v>
      </c>
      <c r="M9" s="3" t="s">
        <v>54</v>
      </c>
      <c r="N9" s="3" t="s">
        <v>26</v>
      </c>
      <c r="O9" s="3" t="s">
        <v>27</v>
      </c>
    </row>
    <row r="10" customFormat="false" ht="35.05" hidden="false" customHeight="false" outlineLevel="0" collapsed="false">
      <c r="A10" s="5" t="s">
        <v>78</v>
      </c>
      <c r="B10" s="5" t="s">
        <v>79</v>
      </c>
      <c r="C10" s="5" t="s">
        <v>80</v>
      </c>
      <c r="D10" s="5" t="s">
        <v>81</v>
      </c>
      <c r="E10" s="5" t="s">
        <v>68</v>
      </c>
      <c r="F10" s="5" t="s">
        <v>33</v>
      </c>
      <c r="G10" s="5" t="s">
        <v>21</v>
      </c>
      <c r="H10" s="4" t="n">
        <f aca="false">F10*G10</f>
        <v>12</v>
      </c>
      <c r="I10" s="4" t="str">
        <f aca="false">IF(H10&gt;=20,"Critical",IF(H10&gt;=12,"High",IF(H10&gt;=6,"Medium","Low")))</f>
        <v>High</v>
      </c>
      <c r="J10" s="5" t="s">
        <v>82</v>
      </c>
      <c r="K10" s="5"/>
      <c r="L10" s="5" t="s">
        <v>83</v>
      </c>
      <c r="M10" s="5" t="s">
        <v>46</v>
      </c>
      <c r="N10" s="5" t="s">
        <v>55</v>
      </c>
      <c r="O10" s="5" t="s">
        <v>27</v>
      </c>
    </row>
    <row r="11" customFormat="false" ht="35.05" hidden="false" customHeight="false" outlineLevel="0" collapsed="false">
      <c r="A11" s="3" t="s">
        <v>84</v>
      </c>
      <c r="B11" s="3" t="s">
        <v>85</v>
      </c>
      <c r="C11" s="3" t="s">
        <v>86</v>
      </c>
      <c r="D11" s="3" t="s">
        <v>87</v>
      </c>
      <c r="E11" s="3" t="s">
        <v>32</v>
      </c>
      <c r="F11" s="3" t="s">
        <v>33</v>
      </c>
      <c r="G11" s="3" t="s">
        <v>21</v>
      </c>
      <c r="H11" s="4" t="n">
        <f aca="false">F11*G11</f>
        <v>12</v>
      </c>
      <c r="I11" s="4" t="str">
        <f aca="false">IF(H11&gt;=20,"Critical",IF(H11&gt;=12,"High",IF(H11&gt;=6,"Medium","Low")))</f>
        <v>High</v>
      </c>
      <c r="J11" s="3" t="s">
        <v>88</v>
      </c>
      <c r="K11" s="3"/>
      <c r="L11" s="3" t="s">
        <v>89</v>
      </c>
      <c r="M11" s="3" t="s">
        <v>90</v>
      </c>
      <c r="N11" s="3" t="s">
        <v>26</v>
      </c>
      <c r="O11" s="3" t="s">
        <v>27</v>
      </c>
    </row>
    <row r="12" customFormat="false" ht="35.05" hidden="false" customHeight="false" outlineLevel="0" collapsed="false">
      <c r="A12" s="5" t="s">
        <v>91</v>
      </c>
      <c r="B12" s="5" t="s">
        <v>92</v>
      </c>
      <c r="C12" s="5" t="s">
        <v>93</v>
      </c>
      <c r="D12" s="5" t="s">
        <v>94</v>
      </c>
      <c r="E12" s="5" t="s">
        <v>68</v>
      </c>
      <c r="F12" s="5" t="s">
        <v>33</v>
      </c>
      <c r="G12" s="5" t="s">
        <v>22</v>
      </c>
      <c r="H12" s="4" t="n">
        <f aca="false">F12*G12</f>
        <v>15</v>
      </c>
      <c r="I12" s="4" t="str">
        <f aca="false">IF(H12&gt;=20,"Critical",IF(H12&gt;=12,"High",IF(H12&gt;=6,"Medium","Low")))</f>
        <v>High</v>
      </c>
      <c r="J12" s="5" t="s">
        <v>95</v>
      </c>
      <c r="K12" s="5"/>
      <c r="L12" s="5" t="s">
        <v>96</v>
      </c>
      <c r="M12" s="5" t="s">
        <v>46</v>
      </c>
      <c r="N12" s="5" t="s">
        <v>97</v>
      </c>
      <c r="O12" s="5" t="s">
        <v>27</v>
      </c>
    </row>
    <row r="13" customFormat="false" ht="46.25" hidden="false" customHeight="false" outlineLevel="0" collapsed="false">
      <c r="A13" s="3" t="s">
        <v>98</v>
      </c>
      <c r="B13" s="3" t="s">
        <v>99</v>
      </c>
      <c r="C13" s="3" t="s">
        <v>100</v>
      </c>
      <c r="D13" s="3" t="s">
        <v>101</v>
      </c>
      <c r="E13" s="3" t="s">
        <v>102</v>
      </c>
      <c r="F13" s="3" t="s">
        <v>33</v>
      </c>
      <c r="G13" s="3" t="s">
        <v>22</v>
      </c>
      <c r="H13" s="4" t="n">
        <f aca="false">F13*G13</f>
        <v>15</v>
      </c>
      <c r="I13" s="4" t="str">
        <f aca="false">IF(H13&gt;=20,"Critical",IF(H13&gt;=12,"High",IF(H13&gt;=6,"Medium","Low")))</f>
        <v>High</v>
      </c>
      <c r="J13" s="3" t="s">
        <v>103</v>
      </c>
      <c r="K13" s="3"/>
      <c r="L13" s="3" t="s">
        <v>104</v>
      </c>
      <c r="M13" s="3" t="s">
        <v>90</v>
      </c>
      <c r="N13" s="3" t="s">
        <v>26</v>
      </c>
      <c r="O13" s="3" t="s">
        <v>27</v>
      </c>
    </row>
    <row r="14" customFormat="false" ht="35.05" hidden="false" customHeight="false" outlineLevel="0" collapsed="false">
      <c r="A14" s="5" t="s">
        <v>105</v>
      </c>
      <c r="B14" s="5" t="s">
        <v>106</v>
      </c>
      <c r="C14" s="5" t="s">
        <v>107</v>
      </c>
      <c r="D14" s="5" t="s">
        <v>108</v>
      </c>
      <c r="E14" s="5" t="s">
        <v>43</v>
      </c>
      <c r="F14" s="5" t="s">
        <v>109</v>
      </c>
      <c r="G14" s="5" t="s">
        <v>33</v>
      </c>
      <c r="H14" s="4" t="n">
        <f aca="false">F14*G14</f>
        <v>6</v>
      </c>
      <c r="I14" s="4" t="str">
        <f aca="false">IF(H14&gt;=20,"Critical",IF(H14&gt;=12,"High",IF(H14&gt;=6,"Medium","Low")))</f>
        <v>Medium</v>
      </c>
      <c r="J14" s="5" t="s">
        <v>110</v>
      </c>
      <c r="K14" s="5"/>
      <c r="L14" s="5" t="s">
        <v>111</v>
      </c>
      <c r="M14" s="5" t="s">
        <v>112</v>
      </c>
      <c r="N14" s="5" t="s">
        <v>55</v>
      </c>
      <c r="O14" s="5" t="s">
        <v>27</v>
      </c>
    </row>
  </sheetData>
  <autoFilter ref="A2:O14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6" t="s">
        <v>113</v>
      </c>
      <c r="B1" s="6"/>
      <c r="C1" s="6"/>
      <c r="D1" s="6"/>
    </row>
    <row r="3" customFormat="false" ht="15" hidden="false" customHeight="false" outlineLevel="0" collapsed="false">
      <c r="A3" s="7" t="s">
        <v>114</v>
      </c>
    </row>
    <row r="4" customFormat="false" ht="15" hidden="false" customHeight="false" outlineLevel="0" collapsed="false">
      <c r="A4" s="2" t="s">
        <v>115</v>
      </c>
      <c r="B4" s="2" t="s">
        <v>9</v>
      </c>
      <c r="C4" s="2" t="s">
        <v>116</v>
      </c>
      <c r="D4" s="2" t="s">
        <v>117</v>
      </c>
    </row>
    <row r="5" customFormat="false" ht="23.85" hidden="false" customHeight="false" outlineLevel="0" collapsed="false">
      <c r="A5" s="8" t="s">
        <v>118</v>
      </c>
      <c r="B5" s="9" t="s">
        <v>119</v>
      </c>
      <c r="C5" s="8" t="s">
        <v>120</v>
      </c>
      <c r="D5" s="5" t="s">
        <v>121</v>
      </c>
    </row>
    <row r="6" customFormat="false" ht="15" hidden="false" customHeight="false" outlineLevel="0" collapsed="false">
      <c r="A6" s="8" t="s">
        <v>122</v>
      </c>
      <c r="B6" s="10" t="s">
        <v>123</v>
      </c>
      <c r="C6" s="8" t="s">
        <v>124</v>
      </c>
      <c r="D6" s="5" t="s">
        <v>125</v>
      </c>
    </row>
    <row r="7" customFormat="false" ht="15" hidden="false" customHeight="false" outlineLevel="0" collapsed="false">
      <c r="A7" s="8" t="s">
        <v>126</v>
      </c>
      <c r="B7" s="11" t="s">
        <v>127</v>
      </c>
      <c r="C7" s="8" t="s">
        <v>128</v>
      </c>
      <c r="D7" s="5" t="s">
        <v>129</v>
      </c>
    </row>
    <row r="8" customFormat="false" ht="15" hidden="false" customHeight="false" outlineLevel="0" collapsed="false">
      <c r="A8" s="8" t="s">
        <v>130</v>
      </c>
      <c r="B8" s="12" t="s">
        <v>131</v>
      </c>
      <c r="C8" s="8" t="s">
        <v>132</v>
      </c>
      <c r="D8" s="5" t="s">
        <v>133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2026-05-30T10:59:06Z</dcterms:created>
  <dc:creator>openpyxl</dc:creator>
  <dc:description/>
  <dc:language>en-US</dc:language>
  <cp:lastModifiedBy/>
  <dcterms:modified xsi:type="dcterms:W3CDTF">2026-05-30T10:59:06Z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