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structions" sheetId="2" state="visible" r:id="rId4"/>
    <sheet name="Gap Assessment" sheetId="3" state="visible" r:id="rId5"/>
  </sheets>
  <definedNames>
    <definedName function="false" hidden="true" localSheetId="2" name="_xlnm._FilterDatabase" vbProcedure="false">'Gap Assessment'!$A$2:$L$29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<sst xmlns="http://schemas.openxmlformats.org/spreadsheetml/2006/main" count="371" uniqueCount="216">
  <si>
    <t xml:space="preserve">MedBridge Supply Co. — NIST CSF Gap Assessment Summary</t>
  </si>
  <si>
    <t xml:space="preserve">Assessment Date:</t>
  </si>
  <si>
    <t xml:space="preserve">June 2025</t>
  </si>
  <si>
    <t xml:space="preserve">Assessed By:</t>
  </si>
  <si>
    <t xml:space="preserve">Li Yopp, GRC Analyst</t>
  </si>
  <si>
    <t xml:space="preserve">Framework:</t>
  </si>
  <si>
    <t xml:space="preserve">NIST Cybersecurity Framework (CSF) 2.0</t>
  </si>
  <si>
    <t xml:space="preserve">Company:</t>
  </si>
  <si>
    <t xml:space="preserve">MedBridge Supply Co. (Fictional)</t>
  </si>
  <si>
    <t xml:space="preserve">Priority Summary</t>
  </si>
  <si>
    <t xml:space="preserve">Priority</t>
  </si>
  <si>
    <t xml:space="preserve">Count</t>
  </si>
  <si>
    <t xml:space="preserve">% of Total</t>
  </si>
  <si>
    <t xml:space="preserve">Action Required</t>
  </si>
  <si>
    <t xml:space="preserve">Critical</t>
  </si>
  <si>
    <t xml:space="preserve">4</t>
  </si>
  <si>
    <t xml:space="preserve">Immediate remediation — assign owner and start within 30 days</t>
  </si>
  <si>
    <t xml:space="preserve">High</t>
  </si>
  <si>
    <t xml:space="preserve">9</t>
  </si>
  <si>
    <t xml:space="preserve">Remediate within 90 days — include in next sprint planning</t>
  </si>
  <si>
    <t xml:space="preserve">Medium</t>
  </si>
  <si>
    <t xml:space="preserve">8</t>
  </si>
  <si>
    <t xml:space="preserve">Remediate within 180 days — track in risk register</t>
  </si>
  <si>
    <t xml:space="preserve">Low</t>
  </si>
  <si>
    <t xml:space="preserve">6</t>
  </si>
  <si>
    <t xml:space="preserve">Remediate within 12 months — monitor and review quarterly</t>
  </si>
  <si>
    <t xml:space="preserve">Function Maturity Overview</t>
  </si>
  <si>
    <t xml:space="preserve">CSF Function</t>
  </si>
  <si>
    <t xml:space="preserve">Subcategories Assessed</t>
  </si>
  <si>
    <t xml:space="preserve">Avg Current Score</t>
  </si>
  <si>
    <t xml:space="preserve">Avg Target Score</t>
  </si>
  <si>
    <t xml:space="preserve">Avg Gap</t>
  </si>
  <si>
    <t xml:space="preserve">Overall Maturity</t>
  </si>
  <si>
    <t xml:space="preserve">GOVERN</t>
  </si>
  <si>
    <t xml:space="preserve">Tier 1–2 (Partial → Risk Informed)</t>
  </si>
  <si>
    <t xml:space="preserve">IDENTIFY</t>
  </si>
  <si>
    <t xml:space="preserve">PROTECT</t>
  </si>
  <si>
    <t xml:space="preserve">Tier 2 (Risk Informed)</t>
  </si>
  <si>
    <t xml:space="preserve">DETECT</t>
  </si>
  <si>
    <t xml:space="preserve">RESPOND</t>
  </si>
  <si>
    <t xml:space="preserve">Tier 1 (Partial)</t>
  </si>
  <si>
    <t xml:space="preserve">RECOVER</t>
  </si>
  <si>
    <t xml:space="preserve">MedBridge Supply Co. — NIST CSF Gap Assessment</t>
  </si>
  <si>
    <t xml:space="preserve">Framework: NIST Cybersecurity Framework (CSF) 2.0</t>
  </si>
  <si>
    <t xml:space="preserve">Purpose</t>
  </si>
  <si>
    <t xml:space="preserve">This assessment evaluates MedBridge Supply Co.'s current cybersecurity maturity against the NIST CSF 2.0 framework and identifies gaps relative to the target state.</t>
  </si>
  <si>
    <t xml:space="preserve">Scoring Scale</t>
  </si>
  <si>
    <t xml:space="preserve">1 = Not implemented  |  2 = Partially implemented  |  3 = Largely implemented  |  4 = Fully implemented</t>
  </si>
  <si>
    <t xml:space="preserve">How to use</t>
  </si>
  <si>
    <t xml:space="preserve">Review each subcategory. Enter Current Score (1–4) and Target Score (1–4). Gap is calculated automatically. Add notes and owners for each finding.</t>
  </si>
  <si>
    <t xml:space="preserve">Maturity Tiers</t>
  </si>
  <si>
    <t xml:space="preserve">Tier 1 (Partial) | Tier 2 (Risk Informed) | Tier 3 (Repeatable) | Tier 4 (Adaptive)</t>
  </si>
  <si>
    <t xml:space="preserve">Assessment Date</t>
  </si>
  <si>
    <t xml:space="preserve">Assessed By</t>
  </si>
  <si>
    <t xml:space="preserve">Next Review</t>
  </si>
  <si>
    <t xml:space="preserve">December 2025</t>
  </si>
  <si>
    <t xml:space="preserve">MedBridge Supply Co. — NIST CSF 2.0 Gap Assessment</t>
  </si>
  <si>
    <t xml:space="preserve">Function</t>
  </si>
  <si>
    <t xml:space="preserve">Category</t>
  </si>
  <si>
    <t xml:space="preserve">Subcategory ID</t>
  </si>
  <si>
    <t xml:space="preserve">Subcategory Description</t>
  </si>
  <si>
    <t xml:space="preserve">Current Score (1–4)</t>
  </si>
  <si>
    <t xml:space="preserve">Target Score (1–4)</t>
  </si>
  <si>
    <t xml:space="preserve">Gap</t>
  </si>
  <si>
    <t xml:space="preserve">Maturity Tier</t>
  </si>
  <si>
    <t xml:space="preserve">Finding / Evidence</t>
  </si>
  <si>
    <t xml:space="preserve">Recommended Action</t>
  </si>
  <si>
    <t xml:space="preserve">Owner</t>
  </si>
  <si>
    <t xml:space="preserve">Organizational Context</t>
  </si>
  <si>
    <t xml:space="preserve">GV.OC-01</t>
  </si>
  <si>
    <t xml:space="preserve">Organizational mission and objectives are understood</t>
  </si>
  <si>
    <t xml:space="preserve">2</t>
  </si>
  <si>
    <t xml:space="preserve">Tier 2</t>
  </si>
  <si>
    <t xml:space="preserve">Mission documented informally; not linked to security strategy</t>
  </si>
  <si>
    <t xml:space="preserve">Develop and publish security-aligned mission statement</t>
  </si>
  <si>
    <t xml:space="preserve">CISO</t>
  </si>
  <si>
    <t xml:space="preserve">Risk Management Strategy</t>
  </si>
  <si>
    <t xml:space="preserve">GV.RM-01</t>
  </si>
  <si>
    <t xml:space="preserve">Risk management objectives are established and agreed upon</t>
  </si>
  <si>
    <t xml:space="preserve">1</t>
  </si>
  <si>
    <t xml:space="preserve">Tier 1</t>
  </si>
  <si>
    <t xml:space="preserve">No formal risk management strategy exists</t>
  </si>
  <si>
    <t xml:space="preserve">Establish enterprise risk management policy and appetite statement</t>
  </si>
  <si>
    <t xml:space="preserve">CISO / Board</t>
  </si>
  <si>
    <t xml:space="preserve">Roles &amp; Responsibilities</t>
  </si>
  <si>
    <t xml:space="preserve">GV.RR-01</t>
  </si>
  <si>
    <t xml:space="preserve">Organizational leadership is responsible and accountable for cybersecurity risk</t>
  </si>
  <si>
    <t xml:space="preserve">Leadership awareness exists; accountability not formally assigned</t>
  </si>
  <si>
    <t xml:space="preserve">Define RACI matrix for cybersecurity roles across departments</t>
  </si>
  <si>
    <t xml:space="preserve">CISO / HR</t>
  </si>
  <si>
    <t xml:space="preserve">Policy</t>
  </si>
  <si>
    <t xml:space="preserve">GV.PO-01</t>
  </si>
  <si>
    <t xml:space="preserve">Policy for managing cybersecurity risks is established and communicated</t>
  </si>
  <si>
    <t xml:space="preserve">3</t>
  </si>
  <si>
    <t xml:space="preserve">Acceptable use policy exists; not reviewed in 18 months</t>
  </si>
  <si>
    <t xml:space="preserve">Review and update all security policies annually</t>
  </si>
  <si>
    <t xml:space="preserve">GRC Analyst</t>
  </si>
  <si>
    <t xml:space="preserve">Oversight</t>
  </si>
  <si>
    <t xml:space="preserve">GV.OV-01</t>
  </si>
  <si>
    <t xml:space="preserve">Results of organization-wide cybersecurity risk management are reviewed by leadership</t>
  </si>
  <si>
    <t xml:space="preserve">No formal GRC reporting cadence to leadership</t>
  </si>
  <si>
    <t xml:space="preserve">Establish quarterly risk reporting to executive team</t>
  </si>
  <si>
    <t xml:space="preserve">Asset Management</t>
  </si>
  <si>
    <t xml:space="preserve">ID.AM-01</t>
  </si>
  <si>
    <t xml:space="preserve">Inventories of hardware managed by the organization are maintained</t>
  </si>
  <si>
    <t xml:space="preserve">Partial asset inventory in spreadsheet; not automated</t>
  </si>
  <si>
    <t xml:space="preserve">Implement asset management tool (e.g., Lansweeper or ServiceNow)</t>
  </si>
  <si>
    <t xml:space="preserve">IT Manager</t>
  </si>
  <si>
    <t xml:space="preserve">ID.AM-02</t>
  </si>
  <si>
    <t xml:space="preserve">Inventories of software managed by the organization are maintained</t>
  </si>
  <si>
    <t xml:space="preserve">Software list exists; shadow IT not tracked</t>
  </si>
  <si>
    <t xml:space="preserve">Deploy software discovery scanning and review quarterly</t>
  </si>
  <si>
    <t xml:space="preserve">ID.AM-05</t>
  </si>
  <si>
    <t xml:space="preserve">Assets are prioritized based on classification, criticality, and business value</t>
  </si>
  <si>
    <t xml:space="preserve">No formal data classification or asset criticality ranking</t>
  </si>
  <si>
    <t xml:space="preserve">Develop data classification policy and asset criticality matrix</t>
  </si>
  <si>
    <t xml:space="preserve">GRC Analyst / IT</t>
  </si>
  <si>
    <t xml:space="preserve">Risk Assessment</t>
  </si>
  <si>
    <t xml:space="preserve">ID.RA-01</t>
  </si>
  <si>
    <t xml:space="preserve">Vulnerabilities in assets are identified, validated, and recorded</t>
  </si>
  <si>
    <t xml:space="preserve">Vulnerability scans run ad hoc; no formal tracking</t>
  </si>
  <si>
    <t xml:space="preserve">Implement monthly automated vulnerability scanning with remediation SLAs</t>
  </si>
  <si>
    <t xml:space="preserve">IT Security</t>
  </si>
  <si>
    <t xml:space="preserve">ID.RA-03</t>
  </si>
  <si>
    <t xml:space="preserve">Internal and external threats to the organization are identified and recorded</t>
  </si>
  <si>
    <t xml:space="preserve">Threat awareness informal; no documented threat library</t>
  </si>
  <si>
    <t xml:space="preserve">Conduct annual threat modeling exercise; document findings in risk register</t>
  </si>
  <si>
    <t xml:space="preserve">Improvement</t>
  </si>
  <si>
    <t xml:space="preserve">ID.IM-01</t>
  </si>
  <si>
    <t xml:space="preserve">Improvements are identified from evaluations</t>
  </si>
  <si>
    <t xml:space="preserve">No post-incident or post-audit improvement tracking process</t>
  </si>
  <si>
    <t xml:space="preserve">Implement lessons-learned process tied to risk register</t>
  </si>
  <si>
    <t xml:space="preserve">Identity Management</t>
  </si>
  <si>
    <t xml:space="preserve">PR.AA-01</t>
  </si>
  <si>
    <t xml:space="preserve">Identities and credentials for authorized users and services are managed</t>
  </si>
  <si>
    <t xml:space="preserve">Tier 3</t>
  </si>
  <si>
    <t xml:space="preserve">MFA enforced for most systems; service accounts not reviewed</t>
  </si>
  <si>
    <t xml:space="preserve">Extend MFA to all systems; implement quarterly access reviews</t>
  </si>
  <si>
    <t xml:space="preserve">PR.AA-03</t>
  </si>
  <si>
    <t xml:space="preserve">Users, services, and hardware are authenticated</t>
  </si>
  <si>
    <t xml:space="preserve">SSO deployed; legacy applications use local auth</t>
  </si>
  <si>
    <t xml:space="preserve">Migrate remaining legacy apps to SSO</t>
  </si>
  <si>
    <t xml:space="preserve">Awareness &amp; Training</t>
  </si>
  <si>
    <t xml:space="preserve">PR.AT-01</t>
  </si>
  <si>
    <t xml:space="preserve">Personnel are provided awareness and training</t>
  </si>
  <si>
    <t xml:space="preserve">Annual security training; phishing simulations not conducted</t>
  </si>
  <si>
    <t xml:space="preserve">Launch phishing simulation program (KnowBe4); quarterly campaigns</t>
  </si>
  <si>
    <t xml:space="preserve">Data Security</t>
  </si>
  <si>
    <t xml:space="preserve">PR.DS-01</t>
  </si>
  <si>
    <t xml:space="preserve">The confidentiality, integrity, and availability of data-at-rest are protected</t>
  </si>
  <si>
    <t xml:space="preserve">Encryption deployed on servers; endpoints inconsistent</t>
  </si>
  <si>
    <t xml:space="preserve">Enforce full-disk encryption on all endpoints via MDM policy</t>
  </si>
  <si>
    <t xml:space="preserve">PR.DS-02</t>
  </si>
  <si>
    <t xml:space="preserve">The confidentiality, integrity, and availability of data-in-transit are protected</t>
  </si>
  <si>
    <t xml:space="preserve">TLS enforced on all external traffic; some internal services unencrypted</t>
  </si>
  <si>
    <t xml:space="preserve">Enforce TLS on all internal service-to-service communication</t>
  </si>
  <si>
    <t xml:space="preserve">Engineering</t>
  </si>
  <si>
    <t xml:space="preserve">Platform Security</t>
  </si>
  <si>
    <t xml:space="preserve">PR.PS-01</t>
  </si>
  <si>
    <t xml:space="preserve">Configuration management practices are established and applied</t>
  </si>
  <si>
    <t xml:space="preserve">No baseline security configurations (CIS Benchmarks) documented</t>
  </si>
  <si>
    <t xml:space="preserve">Develop hardening standards aligned to CIS Benchmarks for all platforms</t>
  </si>
  <si>
    <t xml:space="preserve">Supply Chain</t>
  </si>
  <si>
    <t xml:space="preserve">PR.SC-01</t>
  </si>
  <si>
    <t xml:space="preserve">Cybersecurity requirements are integrated into supplier and partner agreements</t>
  </si>
  <si>
    <t xml:space="preserve">No vendor security requirements in contracts</t>
  </si>
  <si>
    <t xml:space="preserve">Develop vendor security addendum and integrate into procurement process</t>
  </si>
  <si>
    <t xml:space="preserve">GRC Analyst / Legal</t>
  </si>
  <si>
    <t xml:space="preserve">Continuous Monitoring</t>
  </si>
  <si>
    <t xml:space="preserve">DE.CM-01</t>
  </si>
  <si>
    <t xml:space="preserve">Networks and network services are monitored to find potentially adverse events</t>
  </si>
  <si>
    <t xml:space="preserve">Firewall logs reviewed manually; no SIEM in place</t>
  </si>
  <si>
    <t xml:space="preserve">Evaluate and implement SIEM solution (e.g., Microsoft Sentinel)</t>
  </si>
  <si>
    <t xml:space="preserve">DE.CM-03</t>
  </si>
  <si>
    <t xml:space="preserve">Personnel activity and technology usage are monitored to find potentially adverse events</t>
  </si>
  <si>
    <t xml:space="preserve">No user behavior monitoring or DLP controls</t>
  </si>
  <si>
    <t xml:space="preserve">Implement DLP policies and user activity monitoring for sensitive data</t>
  </si>
  <si>
    <t xml:space="preserve">Adverse Event Analysis</t>
  </si>
  <si>
    <t xml:space="preserve">DE.AE-02</t>
  </si>
  <si>
    <t xml:space="preserve">Potentially adverse events are analyzed to better characterize the events</t>
  </si>
  <si>
    <t xml:space="preserve">Alert triage is manual; no documented runbooks</t>
  </si>
  <si>
    <t xml:space="preserve">Develop alert triage runbooks and integrate with ticketing system</t>
  </si>
  <si>
    <t xml:space="preserve">IT Security / GRC</t>
  </si>
  <si>
    <t xml:space="preserve">Incident Management</t>
  </si>
  <si>
    <t xml:space="preserve">RS.MA-01</t>
  </si>
  <si>
    <t xml:space="preserve">The incident response plan is executed in coordination with relevant third parties</t>
  </si>
  <si>
    <t xml:space="preserve">No formal incident response plan exists</t>
  </si>
  <si>
    <t xml:space="preserve">Develop and test incident response plan aligned to NIST 800-61</t>
  </si>
  <si>
    <t xml:space="preserve">GRC Analyst / CISO</t>
  </si>
  <si>
    <t xml:space="preserve">Incident Analysis</t>
  </si>
  <si>
    <t xml:space="preserve">RS.AN-03</t>
  </si>
  <si>
    <t xml:space="preserve">Analysis is performed to establish what has taken place during an incident</t>
  </si>
  <si>
    <t xml:space="preserve">No forensic capability or documented analysis process</t>
  </si>
  <si>
    <t xml:space="preserve">Establish incident analysis procedures and evidence preservation guidelines</t>
  </si>
  <si>
    <t xml:space="preserve">Incident Response Reporting</t>
  </si>
  <si>
    <t xml:space="preserve">RS.CO-02</t>
  </si>
  <si>
    <t xml:space="preserve">Incidents are reported to appropriate authorities</t>
  </si>
  <si>
    <t xml:space="preserve">Informal notification process; regulatory reporting not documented</t>
  </si>
  <si>
    <t xml:space="preserve">Document regulatory and contractual incident notification requirements</t>
  </si>
  <si>
    <t xml:space="preserve">Incident Recovery Plan</t>
  </si>
  <si>
    <t xml:space="preserve">RC.RP-01</t>
  </si>
  <si>
    <t xml:space="preserve">The recovery portion of the incident response plan is executed once initiated</t>
  </si>
  <si>
    <t xml:space="preserve">No documented recovery procedures; BCP/DR plan not established</t>
  </si>
  <si>
    <t xml:space="preserve">Develop BCP and DR plan with defined RTO/RPO for critical systems</t>
  </si>
  <si>
    <t xml:space="preserve">IT Manager / GRC</t>
  </si>
  <si>
    <t xml:space="preserve">Incident Recovery Communication</t>
  </si>
  <si>
    <t xml:space="preserve">RC.CO-03</t>
  </si>
  <si>
    <t xml:space="preserve">Recovery activities are communicated to internal and external stakeholders</t>
  </si>
  <si>
    <t xml:space="preserve">No stakeholder communication plan for recovery events</t>
  </si>
  <si>
    <t xml:space="preserve">Develop crisis communication plan including client and regulatory notifications</t>
  </si>
  <si>
    <t xml:space="preserve">GRC Analyst / Comms</t>
  </si>
  <si>
    <t xml:space="preserve">Improvements</t>
  </si>
  <si>
    <t xml:space="preserve">RC.IM-01</t>
  </si>
  <si>
    <t xml:space="preserve">Restoration activities are coordinated with internal and external parties</t>
  </si>
  <si>
    <t xml:space="preserve">No post-incident restoration coordination documented</t>
  </si>
  <si>
    <t xml:space="preserve">Integrate recovery coordination steps into incident response plan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</si>
</sst>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1"/>
      <color rgb="FF44444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FF0000"/>
        <bgColor rgb="FF993300"/>
      </patternFill>
    </fill>
    <fill>
      <patternFill patternType="solid">
        <fgColor rgb="FFED7D31"/>
        <bgColor rgb="FFFF8080"/>
      </patternFill>
    </fill>
    <fill>
      <patternFill patternType="solid">
        <fgColor rgb="FFFFD700"/>
        <bgColor rgb="FFFFFF00"/>
      </patternFill>
    </fill>
    <fill>
      <patternFill patternType="solid">
        <fgColor rgb="FF70AD47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2E75B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E75B6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D7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7030A0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D7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8" customFormat="false" ht="15" hidden="false" customHeight="false" outlineLevel="0" collapsed="false">
      <c r="A8" s="4" t="s">
        <v>9</v>
      </c>
    </row>
    <row r="9" customFormat="false" ht="15" hidden="false" customHeight="false" outlineLevel="0" collapsed="false">
      <c r="A9" s="5" t="s">
        <v>10</v>
      </c>
      <c r="B9" s="5" t="s">
        <v>11</v>
      </c>
      <c r="C9" s="5" t="s">
        <v>12</v>
      </c>
      <c r="D9" s="5" t="s">
        <v>13</v>
      </c>
    </row>
    <row r="10" customFormat="false" ht="35.05" hidden="false" customHeight="false" outlineLevel="0" collapsed="false">
      <c r="A10" s="6" t="s">
        <v>14</v>
      </c>
      <c r="B10" s="7" t="s">
        <v>15</v>
      </c>
      <c r="C10" s="8" t="n">
        <f aca="false">B10/27</f>
        <v>0.148148148148148</v>
      </c>
      <c r="D10" s="9" t="s">
        <v>16</v>
      </c>
    </row>
    <row r="11" customFormat="false" ht="35.05" hidden="false" customHeight="false" outlineLevel="0" collapsed="false">
      <c r="A11" s="10" t="s">
        <v>17</v>
      </c>
      <c r="B11" s="7" t="s">
        <v>18</v>
      </c>
      <c r="C11" s="8" t="n">
        <f aca="false">B11/27</f>
        <v>0.333333333333333</v>
      </c>
      <c r="D11" s="9" t="s">
        <v>19</v>
      </c>
    </row>
    <row r="12" customFormat="false" ht="35.05" hidden="false" customHeight="false" outlineLevel="0" collapsed="false">
      <c r="A12" s="11" t="s">
        <v>20</v>
      </c>
      <c r="B12" s="7" t="s">
        <v>21</v>
      </c>
      <c r="C12" s="8" t="n">
        <f aca="false">B12/27</f>
        <v>0.296296296296296</v>
      </c>
      <c r="D12" s="9" t="s">
        <v>22</v>
      </c>
    </row>
    <row r="13" customFormat="false" ht="35.05" hidden="false" customHeight="false" outlineLevel="0" collapsed="false">
      <c r="A13" s="12" t="s">
        <v>23</v>
      </c>
      <c r="B13" s="7" t="s">
        <v>24</v>
      </c>
      <c r="C13" s="8" t="n">
        <f aca="false">B13/27</f>
        <v>0.222222222222222</v>
      </c>
      <c r="D13" s="9" t="s">
        <v>25</v>
      </c>
    </row>
    <row r="15" customFormat="false" ht="15" hidden="false" customHeight="false" outlineLevel="0" collapsed="false">
      <c r="A15" s="4" t="s">
        <v>26</v>
      </c>
    </row>
    <row r="16" customFormat="false" ht="15" hidden="false" customHeight="false" outlineLevel="0" collapsed="false">
      <c r="A16" s="5" t="s">
        <v>27</v>
      </c>
      <c r="B16" s="5" t="s">
        <v>28</v>
      </c>
      <c r="C16" s="5" t="s">
        <v>29</v>
      </c>
      <c r="D16" s="5" t="s">
        <v>30</v>
      </c>
      <c r="E16" s="5" t="s">
        <v>31</v>
      </c>
      <c r="F16" s="5" t="s">
        <v>32</v>
      </c>
    </row>
    <row r="17" customFormat="false" ht="15" hidden="false" customHeight="false" outlineLevel="0" collapsed="false">
      <c r="A17" s="13" t="s">
        <v>33</v>
      </c>
      <c r="B17" s="7" t="n">
        <v>5</v>
      </c>
      <c r="C17" s="7" t="n">
        <v>1.6</v>
      </c>
      <c r="D17" s="7" t="n">
        <v>3.6</v>
      </c>
      <c r="E17" s="7" t="n">
        <v>2</v>
      </c>
      <c r="F17" s="7" t="s">
        <v>34</v>
      </c>
    </row>
    <row r="18" customFormat="false" ht="15" hidden="false" customHeight="false" outlineLevel="0" collapsed="false">
      <c r="A18" s="5" t="s">
        <v>35</v>
      </c>
      <c r="B18" s="7" t="n">
        <v>6</v>
      </c>
      <c r="C18" s="7" t="n">
        <v>1.7</v>
      </c>
      <c r="D18" s="7" t="n">
        <v>3.3</v>
      </c>
      <c r="E18" s="7" t="n">
        <v>1.7</v>
      </c>
      <c r="F18" s="7" t="s">
        <v>34</v>
      </c>
    </row>
    <row r="19" customFormat="false" ht="15" hidden="false" customHeight="false" outlineLevel="0" collapsed="false">
      <c r="A19" s="12" t="s">
        <v>36</v>
      </c>
      <c r="B19" s="7" t="n">
        <v>7</v>
      </c>
      <c r="C19" s="7" t="n">
        <v>2.1</v>
      </c>
      <c r="D19" s="7" t="n">
        <v>3.6</v>
      </c>
      <c r="E19" s="7" t="n">
        <v>1.5</v>
      </c>
      <c r="F19" s="7" t="s">
        <v>37</v>
      </c>
    </row>
    <row r="20" customFormat="false" ht="15" hidden="false" customHeight="false" outlineLevel="0" collapsed="false">
      <c r="A20" s="10" t="s">
        <v>38</v>
      </c>
      <c r="B20" s="7" t="n">
        <v>3</v>
      </c>
      <c r="C20" s="7" t="n">
        <v>1.7</v>
      </c>
      <c r="D20" s="7" t="n">
        <v>3.3</v>
      </c>
      <c r="E20" s="7" t="n">
        <v>1.7</v>
      </c>
      <c r="F20" s="7" t="s">
        <v>34</v>
      </c>
    </row>
    <row r="21" customFormat="false" ht="15" hidden="false" customHeight="false" outlineLevel="0" collapsed="false">
      <c r="A21" s="6" t="s">
        <v>39</v>
      </c>
      <c r="B21" s="7" t="n">
        <v>3</v>
      </c>
      <c r="C21" s="7" t="n">
        <v>1.3</v>
      </c>
      <c r="D21" s="7" t="n">
        <v>3.3</v>
      </c>
      <c r="E21" s="7" t="n">
        <v>2</v>
      </c>
      <c r="F21" s="7" t="s">
        <v>40</v>
      </c>
    </row>
    <row r="22" customFormat="false" ht="15" hidden="false" customHeight="false" outlineLevel="0" collapsed="false">
      <c r="A22" s="14" t="s">
        <v>41</v>
      </c>
      <c r="B22" s="7" t="n">
        <v>3</v>
      </c>
      <c r="C22" s="7" t="n">
        <v>1</v>
      </c>
      <c r="D22" s="7" t="n">
        <v>3.3</v>
      </c>
      <c r="E22" s="7" t="n">
        <v>2.3</v>
      </c>
      <c r="F22" s="7" t="s">
        <v>40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0"/>
  </cols>
  <sheetData>
    <row r="1" customFormat="false" ht="27.75" hidden="false" customHeight="true" outlineLevel="0" collapsed="false">
      <c r="A1" s="15" t="s">
        <v>42</v>
      </c>
    </row>
    <row r="2" customFormat="false" ht="15" hidden="false" customHeight="false" outlineLevel="0" collapsed="false">
      <c r="A2" s="16" t="s">
        <v>43</v>
      </c>
    </row>
    <row r="4" customFormat="false" ht="23.85" hidden="false" customHeight="false" outlineLevel="0" collapsed="false">
      <c r="A4" s="2" t="s">
        <v>44</v>
      </c>
      <c r="B4" s="17" t="s">
        <v>45</v>
      </c>
    </row>
    <row r="5" customFormat="false" ht="23.85" hidden="false" customHeight="false" outlineLevel="0" collapsed="false">
      <c r="A5" s="2" t="s">
        <v>46</v>
      </c>
      <c r="B5" s="17" t="s">
        <v>47</v>
      </c>
    </row>
    <row r="6" customFormat="false" ht="23.85" hidden="false" customHeight="false" outlineLevel="0" collapsed="false">
      <c r="A6" s="2" t="s">
        <v>48</v>
      </c>
      <c r="B6" s="17" t="s">
        <v>49</v>
      </c>
    </row>
    <row r="7" customFormat="false" ht="15" hidden="false" customHeight="false" outlineLevel="0" collapsed="false">
      <c r="A7" s="2" t="s">
        <v>50</v>
      </c>
      <c r="B7" s="17" t="s">
        <v>51</v>
      </c>
    </row>
    <row r="8" customFormat="false" ht="15" hidden="false" customHeight="false" outlineLevel="0" collapsed="false">
      <c r="A8" s="2" t="s">
        <v>52</v>
      </c>
      <c r="B8" s="17" t="s">
        <v>2</v>
      </c>
    </row>
    <row r="9" customFormat="false" ht="15" hidden="false" customHeight="false" outlineLevel="0" collapsed="false">
      <c r="A9" s="2" t="s">
        <v>53</v>
      </c>
      <c r="B9" s="17" t="s">
        <v>4</v>
      </c>
    </row>
    <row r="10" customFormat="false" ht="15" hidden="false" customHeight="false" outlineLevel="0" collapsed="false">
      <c r="A10" s="2" t="s">
        <v>54</v>
      </c>
      <c r="B10" s="1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48"/>
    <col collapsed="false" customWidth="true" hidden="false" outlineLevel="0" max="6" min="5" style="0" width="16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42"/>
    <col collapsed="false" customWidth="true" hidden="false" outlineLevel="0" max="11" min="11" style="0" width="48"/>
    <col collapsed="false" customWidth="true" hidden="false" outlineLevel="0" max="12" min="12" style="0" width="20"/>
  </cols>
  <sheetData>
    <row r="1" customFormat="false" ht="30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5" t="s">
        <v>57</v>
      </c>
      <c r="B2" s="5" t="s">
        <v>58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63</v>
      </c>
      <c r="H2" s="5" t="s">
        <v>10</v>
      </c>
      <c r="I2" s="5" t="s">
        <v>64</v>
      </c>
      <c r="J2" s="5" t="s">
        <v>65</v>
      </c>
      <c r="K2" s="5" t="s">
        <v>66</v>
      </c>
      <c r="L2" s="5" t="s">
        <v>67</v>
      </c>
    </row>
    <row r="3" customFormat="false" ht="23.85" hidden="false" customHeight="false" outlineLevel="0" collapsed="false">
      <c r="A3" s="13" t="s">
        <v>33</v>
      </c>
      <c r="B3" s="9" t="s">
        <v>68</v>
      </c>
      <c r="C3" s="9" t="s">
        <v>69</v>
      </c>
      <c r="D3" s="9" t="s">
        <v>70</v>
      </c>
      <c r="E3" s="7" t="s">
        <v>71</v>
      </c>
      <c r="F3" s="7" t="s">
        <v>15</v>
      </c>
      <c r="G3" s="18" t="n">
        <f aca="false">F3-E3</f>
        <v>2</v>
      </c>
      <c r="H3" s="10" t="s">
        <v>17</v>
      </c>
      <c r="I3" s="9" t="s">
        <v>72</v>
      </c>
      <c r="J3" s="9" t="s">
        <v>73</v>
      </c>
      <c r="K3" s="9" t="s">
        <v>74</v>
      </c>
      <c r="L3" s="9" t="s">
        <v>75</v>
      </c>
    </row>
    <row r="4" customFormat="false" ht="23.85" hidden="false" customHeight="false" outlineLevel="0" collapsed="false">
      <c r="A4" s="13" t="s">
        <v>33</v>
      </c>
      <c r="B4" s="9" t="s">
        <v>76</v>
      </c>
      <c r="C4" s="9" t="s">
        <v>77</v>
      </c>
      <c r="D4" s="9" t="s">
        <v>78</v>
      </c>
      <c r="E4" s="7" t="s">
        <v>79</v>
      </c>
      <c r="F4" s="7" t="s">
        <v>15</v>
      </c>
      <c r="G4" s="18" t="n">
        <f aca="false">F4-E4</f>
        <v>3</v>
      </c>
      <c r="H4" s="6" t="s">
        <v>14</v>
      </c>
      <c r="I4" s="9" t="s">
        <v>80</v>
      </c>
      <c r="J4" s="9" t="s">
        <v>81</v>
      </c>
      <c r="K4" s="9" t="s">
        <v>82</v>
      </c>
      <c r="L4" s="9" t="s">
        <v>83</v>
      </c>
    </row>
    <row r="5" customFormat="false" ht="23.85" hidden="false" customHeight="false" outlineLevel="0" collapsed="false">
      <c r="A5" s="13" t="s">
        <v>33</v>
      </c>
      <c r="B5" s="9" t="s">
        <v>84</v>
      </c>
      <c r="C5" s="9" t="s">
        <v>85</v>
      </c>
      <c r="D5" s="9" t="s">
        <v>86</v>
      </c>
      <c r="E5" s="7" t="s">
        <v>71</v>
      </c>
      <c r="F5" s="7" t="s">
        <v>15</v>
      </c>
      <c r="G5" s="18" t="n">
        <f aca="false">F5-E5</f>
        <v>2</v>
      </c>
      <c r="H5" s="10" t="s">
        <v>17</v>
      </c>
      <c r="I5" s="9" t="s">
        <v>72</v>
      </c>
      <c r="J5" s="9" t="s">
        <v>87</v>
      </c>
      <c r="K5" s="9" t="s">
        <v>88</v>
      </c>
      <c r="L5" s="9" t="s">
        <v>89</v>
      </c>
    </row>
    <row r="6" customFormat="false" ht="23.85" hidden="false" customHeight="false" outlineLevel="0" collapsed="false">
      <c r="A6" s="13" t="s">
        <v>33</v>
      </c>
      <c r="B6" s="9" t="s">
        <v>90</v>
      </c>
      <c r="C6" s="9" t="s">
        <v>91</v>
      </c>
      <c r="D6" s="9" t="s">
        <v>92</v>
      </c>
      <c r="E6" s="7" t="s">
        <v>71</v>
      </c>
      <c r="F6" s="7" t="s">
        <v>93</v>
      </c>
      <c r="G6" s="18" t="n">
        <f aca="false">F6-E6</f>
        <v>1</v>
      </c>
      <c r="H6" s="11" t="s">
        <v>20</v>
      </c>
      <c r="I6" s="9" t="s">
        <v>72</v>
      </c>
      <c r="J6" s="9" t="s">
        <v>94</v>
      </c>
      <c r="K6" s="9" t="s">
        <v>95</v>
      </c>
      <c r="L6" s="9" t="s">
        <v>96</v>
      </c>
    </row>
    <row r="7" customFormat="false" ht="23.85" hidden="false" customHeight="false" outlineLevel="0" collapsed="false">
      <c r="A7" s="13" t="s">
        <v>33</v>
      </c>
      <c r="B7" s="9" t="s">
        <v>97</v>
      </c>
      <c r="C7" s="9" t="s">
        <v>98</v>
      </c>
      <c r="D7" s="9" t="s">
        <v>99</v>
      </c>
      <c r="E7" s="7" t="s">
        <v>79</v>
      </c>
      <c r="F7" s="7" t="s">
        <v>93</v>
      </c>
      <c r="G7" s="18" t="n">
        <f aca="false">F7-E7</f>
        <v>2</v>
      </c>
      <c r="H7" s="10" t="s">
        <v>17</v>
      </c>
      <c r="I7" s="9" t="s">
        <v>80</v>
      </c>
      <c r="J7" s="9" t="s">
        <v>100</v>
      </c>
      <c r="K7" s="9" t="s">
        <v>101</v>
      </c>
      <c r="L7" s="9" t="s">
        <v>96</v>
      </c>
    </row>
    <row r="8" customFormat="false" ht="23.85" hidden="false" customHeight="false" outlineLevel="0" collapsed="false">
      <c r="A8" s="5" t="s">
        <v>35</v>
      </c>
      <c r="B8" s="9" t="s">
        <v>102</v>
      </c>
      <c r="C8" s="9" t="s">
        <v>103</v>
      </c>
      <c r="D8" s="9" t="s">
        <v>104</v>
      </c>
      <c r="E8" s="7" t="s">
        <v>71</v>
      </c>
      <c r="F8" s="7" t="s">
        <v>15</v>
      </c>
      <c r="G8" s="18" t="n">
        <f aca="false">F8-E8</f>
        <v>2</v>
      </c>
      <c r="H8" s="10" t="s">
        <v>17</v>
      </c>
      <c r="I8" s="9" t="s">
        <v>72</v>
      </c>
      <c r="J8" s="9" t="s">
        <v>105</v>
      </c>
      <c r="K8" s="9" t="s">
        <v>106</v>
      </c>
      <c r="L8" s="9" t="s">
        <v>107</v>
      </c>
    </row>
    <row r="9" customFormat="false" ht="23.85" hidden="false" customHeight="false" outlineLevel="0" collapsed="false">
      <c r="A9" s="5" t="s">
        <v>35</v>
      </c>
      <c r="B9" s="9" t="s">
        <v>102</v>
      </c>
      <c r="C9" s="9" t="s">
        <v>108</v>
      </c>
      <c r="D9" s="9" t="s">
        <v>109</v>
      </c>
      <c r="E9" s="7" t="s">
        <v>71</v>
      </c>
      <c r="F9" s="7" t="s">
        <v>93</v>
      </c>
      <c r="G9" s="18" t="n">
        <f aca="false">F9-E9</f>
        <v>1</v>
      </c>
      <c r="H9" s="11" t="s">
        <v>20</v>
      </c>
      <c r="I9" s="9" t="s">
        <v>72</v>
      </c>
      <c r="J9" s="9" t="s">
        <v>110</v>
      </c>
      <c r="K9" s="9" t="s">
        <v>111</v>
      </c>
      <c r="L9" s="9" t="s">
        <v>107</v>
      </c>
    </row>
    <row r="10" customFormat="false" ht="23.85" hidden="false" customHeight="false" outlineLevel="0" collapsed="false">
      <c r="A10" s="5" t="s">
        <v>35</v>
      </c>
      <c r="B10" s="9" t="s">
        <v>102</v>
      </c>
      <c r="C10" s="9" t="s">
        <v>112</v>
      </c>
      <c r="D10" s="9" t="s">
        <v>113</v>
      </c>
      <c r="E10" s="7" t="s">
        <v>79</v>
      </c>
      <c r="F10" s="7" t="s">
        <v>93</v>
      </c>
      <c r="G10" s="18" t="n">
        <f aca="false">F10-E10</f>
        <v>2</v>
      </c>
      <c r="H10" s="10" t="s">
        <v>17</v>
      </c>
      <c r="I10" s="9" t="s">
        <v>80</v>
      </c>
      <c r="J10" s="9" t="s">
        <v>114</v>
      </c>
      <c r="K10" s="9" t="s">
        <v>115</v>
      </c>
      <c r="L10" s="9" t="s">
        <v>116</v>
      </c>
    </row>
    <row r="11" customFormat="false" ht="23.85" hidden="false" customHeight="false" outlineLevel="0" collapsed="false">
      <c r="A11" s="5" t="s">
        <v>35</v>
      </c>
      <c r="B11" s="9" t="s">
        <v>117</v>
      </c>
      <c r="C11" s="9" t="s">
        <v>118</v>
      </c>
      <c r="D11" s="9" t="s">
        <v>119</v>
      </c>
      <c r="E11" s="7" t="s">
        <v>71</v>
      </c>
      <c r="F11" s="7" t="s">
        <v>15</v>
      </c>
      <c r="G11" s="18" t="n">
        <f aca="false">F11-E11</f>
        <v>2</v>
      </c>
      <c r="H11" s="10" t="s">
        <v>17</v>
      </c>
      <c r="I11" s="9" t="s">
        <v>72</v>
      </c>
      <c r="J11" s="9" t="s">
        <v>120</v>
      </c>
      <c r="K11" s="9" t="s">
        <v>121</v>
      </c>
      <c r="L11" s="9" t="s">
        <v>122</v>
      </c>
    </row>
    <row r="12" customFormat="false" ht="23.85" hidden="false" customHeight="false" outlineLevel="0" collapsed="false">
      <c r="A12" s="5" t="s">
        <v>35</v>
      </c>
      <c r="B12" s="9" t="s">
        <v>117</v>
      </c>
      <c r="C12" s="9" t="s">
        <v>123</v>
      </c>
      <c r="D12" s="9" t="s">
        <v>124</v>
      </c>
      <c r="E12" s="7" t="s">
        <v>71</v>
      </c>
      <c r="F12" s="7" t="s">
        <v>93</v>
      </c>
      <c r="G12" s="18" t="n">
        <f aca="false">F12-E12</f>
        <v>1</v>
      </c>
      <c r="H12" s="11" t="s">
        <v>20</v>
      </c>
      <c r="I12" s="9" t="s">
        <v>72</v>
      </c>
      <c r="J12" s="9" t="s">
        <v>125</v>
      </c>
      <c r="K12" s="9" t="s">
        <v>126</v>
      </c>
      <c r="L12" s="9" t="s">
        <v>96</v>
      </c>
    </row>
    <row r="13" customFormat="false" ht="23.85" hidden="false" customHeight="false" outlineLevel="0" collapsed="false">
      <c r="A13" s="5" t="s">
        <v>35</v>
      </c>
      <c r="B13" s="9" t="s">
        <v>127</v>
      </c>
      <c r="C13" s="9" t="s">
        <v>128</v>
      </c>
      <c r="D13" s="9" t="s">
        <v>129</v>
      </c>
      <c r="E13" s="7" t="s">
        <v>79</v>
      </c>
      <c r="F13" s="7" t="s">
        <v>93</v>
      </c>
      <c r="G13" s="18" t="n">
        <f aca="false">F13-E13</f>
        <v>2</v>
      </c>
      <c r="H13" s="10" t="s">
        <v>17</v>
      </c>
      <c r="I13" s="9" t="s">
        <v>80</v>
      </c>
      <c r="J13" s="9" t="s">
        <v>130</v>
      </c>
      <c r="K13" s="9" t="s">
        <v>131</v>
      </c>
      <c r="L13" s="9" t="s">
        <v>96</v>
      </c>
    </row>
    <row r="14" customFormat="false" ht="23.85" hidden="false" customHeight="false" outlineLevel="0" collapsed="false">
      <c r="A14" s="12" t="s">
        <v>36</v>
      </c>
      <c r="B14" s="9" t="s">
        <v>132</v>
      </c>
      <c r="C14" s="9" t="s">
        <v>133</v>
      </c>
      <c r="D14" s="9" t="s">
        <v>134</v>
      </c>
      <c r="E14" s="7" t="s">
        <v>93</v>
      </c>
      <c r="F14" s="7" t="s">
        <v>15</v>
      </c>
      <c r="G14" s="18" t="n">
        <f aca="false">F14-E14</f>
        <v>1</v>
      </c>
      <c r="H14" s="11" t="s">
        <v>20</v>
      </c>
      <c r="I14" s="9" t="s">
        <v>135</v>
      </c>
      <c r="J14" s="9" t="s">
        <v>136</v>
      </c>
      <c r="K14" s="9" t="s">
        <v>137</v>
      </c>
      <c r="L14" s="9" t="s">
        <v>122</v>
      </c>
    </row>
    <row r="15" customFormat="false" ht="15" hidden="false" customHeight="false" outlineLevel="0" collapsed="false">
      <c r="A15" s="12" t="s">
        <v>36</v>
      </c>
      <c r="B15" s="9" t="s">
        <v>132</v>
      </c>
      <c r="C15" s="9" t="s">
        <v>138</v>
      </c>
      <c r="D15" s="9" t="s">
        <v>139</v>
      </c>
      <c r="E15" s="7" t="s">
        <v>93</v>
      </c>
      <c r="F15" s="7" t="s">
        <v>15</v>
      </c>
      <c r="G15" s="18" t="n">
        <f aca="false">F15-E15</f>
        <v>1</v>
      </c>
      <c r="H15" s="12" t="s">
        <v>23</v>
      </c>
      <c r="I15" s="9" t="s">
        <v>135</v>
      </c>
      <c r="J15" s="9" t="s">
        <v>140</v>
      </c>
      <c r="K15" s="9" t="s">
        <v>141</v>
      </c>
      <c r="L15" s="9" t="s">
        <v>107</v>
      </c>
    </row>
    <row r="16" customFormat="false" ht="23.85" hidden="false" customHeight="false" outlineLevel="0" collapsed="false">
      <c r="A16" s="12" t="s">
        <v>36</v>
      </c>
      <c r="B16" s="9" t="s">
        <v>142</v>
      </c>
      <c r="C16" s="9" t="s">
        <v>143</v>
      </c>
      <c r="D16" s="9" t="s">
        <v>144</v>
      </c>
      <c r="E16" s="7" t="s">
        <v>71</v>
      </c>
      <c r="F16" s="7" t="s">
        <v>15</v>
      </c>
      <c r="G16" s="18" t="n">
        <f aca="false">F16-E16</f>
        <v>2</v>
      </c>
      <c r="H16" s="10" t="s">
        <v>17</v>
      </c>
      <c r="I16" s="9" t="s">
        <v>72</v>
      </c>
      <c r="J16" s="9" t="s">
        <v>145</v>
      </c>
      <c r="K16" s="9" t="s">
        <v>146</v>
      </c>
      <c r="L16" s="9" t="s">
        <v>96</v>
      </c>
    </row>
    <row r="17" customFormat="false" ht="23.85" hidden="false" customHeight="false" outlineLevel="0" collapsed="false">
      <c r="A17" s="12" t="s">
        <v>36</v>
      </c>
      <c r="B17" s="9" t="s">
        <v>147</v>
      </c>
      <c r="C17" s="9" t="s">
        <v>148</v>
      </c>
      <c r="D17" s="9" t="s">
        <v>149</v>
      </c>
      <c r="E17" s="7" t="s">
        <v>71</v>
      </c>
      <c r="F17" s="7" t="s">
        <v>15</v>
      </c>
      <c r="G17" s="18" t="n">
        <f aca="false">F17-E17</f>
        <v>2</v>
      </c>
      <c r="H17" s="10" t="s">
        <v>17</v>
      </c>
      <c r="I17" s="9" t="s">
        <v>72</v>
      </c>
      <c r="J17" s="9" t="s">
        <v>150</v>
      </c>
      <c r="K17" s="9" t="s">
        <v>151</v>
      </c>
      <c r="L17" s="9" t="s">
        <v>122</v>
      </c>
    </row>
    <row r="18" customFormat="false" ht="23.85" hidden="false" customHeight="false" outlineLevel="0" collapsed="false">
      <c r="A18" s="12" t="s">
        <v>36</v>
      </c>
      <c r="B18" s="9" t="s">
        <v>147</v>
      </c>
      <c r="C18" s="9" t="s">
        <v>152</v>
      </c>
      <c r="D18" s="9" t="s">
        <v>153</v>
      </c>
      <c r="E18" s="7" t="s">
        <v>93</v>
      </c>
      <c r="F18" s="7" t="s">
        <v>15</v>
      </c>
      <c r="G18" s="18" t="n">
        <f aca="false">F18-E18</f>
        <v>1</v>
      </c>
      <c r="H18" s="12" t="s">
        <v>23</v>
      </c>
      <c r="I18" s="9" t="s">
        <v>135</v>
      </c>
      <c r="J18" s="9" t="s">
        <v>154</v>
      </c>
      <c r="K18" s="9" t="s">
        <v>155</v>
      </c>
      <c r="L18" s="9" t="s">
        <v>156</v>
      </c>
    </row>
    <row r="19" customFormat="false" ht="23.85" hidden="false" customHeight="false" outlineLevel="0" collapsed="false">
      <c r="A19" s="12" t="s">
        <v>36</v>
      </c>
      <c r="B19" s="9" t="s">
        <v>157</v>
      </c>
      <c r="C19" s="9" t="s">
        <v>158</v>
      </c>
      <c r="D19" s="9" t="s">
        <v>159</v>
      </c>
      <c r="E19" s="7" t="s">
        <v>79</v>
      </c>
      <c r="F19" s="7" t="s">
        <v>93</v>
      </c>
      <c r="G19" s="18" t="n">
        <f aca="false">F19-E19</f>
        <v>2</v>
      </c>
      <c r="H19" s="6" t="s">
        <v>14</v>
      </c>
      <c r="I19" s="9" t="s">
        <v>80</v>
      </c>
      <c r="J19" s="9" t="s">
        <v>160</v>
      </c>
      <c r="K19" s="9" t="s">
        <v>161</v>
      </c>
      <c r="L19" s="9" t="s">
        <v>122</v>
      </c>
    </row>
    <row r="20" customFormat="false" ht="23.85" hidden="false" customHeight="false" outlineLevel="0" collapsed="false">
      <c r="A20" s="12" t="s">
        <v>36</v>
      </c>
      <c r="B20" s="9" t="s">
        <v>162</v>
      </c>
      <c r="C20" s="9" t="s">
        <v>163</v>
      </c>
      <c r="D20" s="9" t="s">
        <v>164</v>
      </c>
      <c r="E20" s="7" t="s">
        <v>79</v>
      </c>
      <c r="F20" s="7" t="s">
        <v>15</v>
      </c>
      <c r="G20" s="18" t="n">
        <f aca="false">F20-E20</f>
        <v>3</v>
      </c>
      <c r="H20" s="6" t="s">
        <v>14</v>
      </c>
      <c r="I20" s="9" t="s">
        <v>80</v>
      </c>
      <c r="J20" s="9" t="s">
        <v>165</v>
      </c>
      <c r="K20" s="9" t="s">
        <v>166</v>
      </c>
      <c r="L20" s="9" t="s">
        <v>167</v>
      </c>
    </row>
    <row r="21" customFormat="false" ht="23.85" hidden="false" customHeight="false" outlineLevel="0" collapsed="false">
      <c r="A21" s="10" t="s">
        <v>38</v>
      </c>
      <c r="B21" s="9" t="s">
        <v>168</v>
      </c>
      <c r="C21" s="9" t="s">
        <v>169</v>
      </c>
      <c r="D21" s="9" t="s">
        <v>170</v>
      </c>
      <c r="E21" s="7" t="s">
        <v>71</v>
      </c>
      <c r="F21" s="7" t="s">
        <v>15</v>
      </c>
      <c r="G21" s="18" t="n">
        <f aca="false">F21-E21</f>
        <v>2</v>
      </c>
      <c r="H21" s="10" t="s">
        <v>17</v>
      </c>
      <c r="I21" s="9" t="s">
        <v>72</v>
      </c>
      <c r="J21" s="9" t="s">
        <v>171</v>
      </c>
      <c r="K21" s="9" t="s">
        <v>172</v>
      </c>
      <c r="L21" s="9" t="s">
        <v>122</v>
      </c>
    </row>
    <row r="22" customFormat="false" ht="23.85" hidden="false" customHeight="false" outlineLevel="0" collapsed="false">
      <c r="A22" s="10" t="s">
        <v>38</v>
      </c>
      <c r="B22" s="9" t="s">
        <v>168</v>
      </c>
      <c r="C22" s="9" t="s">
        <v>173</v>
      </c>
      <c r="D22" s="9" t="s">
        <v>174</v>
      </c>
      <c r="E22" s="7" t="s">
        <v>79</v>
      </c>
      <c r="F22" s="7" t="s">
        <v>93</v>
      </c>
      <c r="G22" s="18" t="n">
        <f aca="false">F22-E22</f>
        <v>2</v>
      </c>
      <c r="H22" s="10" t="s">
        <v>17</v>
      </c>
      <c r="I22" s="9" t="s">
        <v>80</v>
      </c>
      <c r="J22" s="9" t="s">
        <v>175</v>
      </c>
      <c r="K22" s="9" t="s">
        <v>176</v>
      </c>
      <c r="L22" s="9" t="s">
        <v>122</v>
      </c>
    </row>
    <row r="23" customFormat="false" ht="23.85" hidden="false" customHeight="false" outlineLevel="0" collapsed="false">
      <c r="A23" s="10" t="s">
        <v>38</v>
      </c>
      <c r="B23" s="9" t="s">
        <v>177</v>
      </c>
      <c r="C23" s="9" t="s">
        <v>178</v>
      </c>
      <c r="D23" s="9" t="s">
        <v>179</v>
      </c>
      <c r="E23" s="7" t="s">
        <v>71</v>
      </c>
      <c r="F23" s="7" t="s">
        <v>93</v>
      </c>
      <c r="G23" s="18" t="n">
        <f aca="false">F23-E23</f>
        <v>1</v>
      </c>
      <c r="H23" s="11" t="s">
        <v>20</v>
      </c>
      <c r="I23" s="9" t="s">
        <v>72</v>
      </c>
      <c r="J23" s="9" t="s">
        <v>180</v>
      </c>
      <c r="K23" s="9" t="s">
        <v>181</v>
      </c>
      <c r="L23" s="9" t="s">
        <v>182</v>
      </c>
    </row>
    <row r="24" customFormat="false" ht="23.85" hidden="false" customHeight="false" outlineLevel="0" collapsed="false">
      <c r="A24" s="6" t="s">
        <v>39</v>
      </c>
      <c r="B24" s="9" t="s">
        <v>183</v>
      </c>
      <c r="C24" s="9" t="s">
        <v>184</v>
      </c>
      <c r="D24" s="9" t="s">
        <v>185</v>
      </c>
      <c r="E24" s="7" t="s">
        <v>79</v>
      </c>
      <c r="F24" s="7" t="s">
        <v>15</v>
      </c>
      <c r="G24" s="18" t="n">
        <f aca="false">F24-E24</f>
        <v>3</v>
      </c>
      <c r="H24" s="6" t="s">
        <v>14</v>
      </c>
      <c r="I24" s="9" t="s">
        <v>80</v>
      </c>
      <c r="J24" s="9" t="s">
        <v>186</v>
      </c>
      <c r="K24" s="9" t="s">
        <v>187</v>
      </c>
      <c r="L24" s="9" t="s">
        <v>188</v>
      </c>
    </row>
    <row r="25" customFormat="false" ht="23.85" hidden="false" customHeight="false" outlineLevel="0" collapsed="false">
      <c r="A25" s="6" t="s">
        <v>39</v>
      </c>
      <c r="B25" s="9" t="s">
        <v>189</v>
      </c>
      <c r="C25" s="9" t="s">
        <v>190</v>
      </c>
      <c r="D25" s="9" t="s">
        <v>191</v>
      </c>
      <c r="E25" s="7" t="s">
        <v>79</v>
      </c>
      <c r="F25" s="7" t="s">
        <v>93</v>
      </c>
      <c r="G25" s="18" t="n">
        <f aca="false">F25-E25</f>
        <v>2</v>
      </c>
      <c r="H25" s="10" t="s">
        <v>17</v>
      </c>
      <c r="I25" s="9" t="s">
        <v>80</v>
      </c>
      <c r="J25" s="9" t="s">
        <v>192</v>
      </c>
      <c r="K25" s="9" t="s">
        <v>193</v>
      </c>
      <c r="L25" s="9" t="s">
        <v>122</v>
      </c>
    </row>
    <row r="26" customFormat="false" ht="23.85" hidden="false" customHeight="false" outlineLevel="0" collapsed="false">
      <c r="A26" s="6" t="s">
        <v>39</v>
      </c>
      <c r="B26" s="9" t="s">
        <v>194</v>
      </c>
      <c r="C26" s="9" t="s">
        <v>195</v>
      </c>
      <c r="D26" s="9" t="s">
        <v>196</v>
      </c>
      <c r="E26" s="7" t="s">
        <v>71</v>
      </c>
      <c r="F26" s="7" t="s">
        <v>93</v>
      </c>
      <c r="G26" s="18" t="n">
        <f aca="false">F26-E26</f>
        <v>1</v>
      </c>
      <c r="H26" s="11" t="s">
        <v>20</v>
      </c>
      <c r="I26" s="9" t="s">
        <v>72</v>
      </c>
      <c r="J26" s="9" t="s">
        <v>197</v>
      </c>
      <c r="K26" s="9" t="s">
        <v>198</v>
      </c>
      <c r="L26" s="9" t="s">
        <v>167</v>
      </c>
    </row>
    <row r="27" customFormat="false" ht="23.85" hidden="false" customHeight="false" outlineLevel="0" collapsed="false">
      <c r="A27" s="14" t="s">
        <v>41</v>
      </c>
      <c r="B27" s="9" t="s">
        <v>199</v>
      </c>
      <c r="C27" s="9" t="s">
        <v>200</v>
      </c>
      <c r="D27" s="9" t="s">
        <v>201</v>
      </c>
      <c r="E27" s="7" t="s">
        <v>79</v>
      </c>
      <c r="F27" s="7" t="s">
        <v>15</v>
      </c>
      <c r="G27" s="18" t="n">
        <f aca="false">F27-E27</f>
        <v>3</v>
      </c>
      <c r="H27" s="6" t="s">
        <v>14</v>
      </c>
      <c r="I27" s="9" t="s">
        <v>80</v>
      </c>
      <c r="J27" s="9" t="s">
        <v>202</v>
      </c>
      <c r="K27" s="9" t="s">
        <v>203</v>
      </c>
      <c r="L27" s="9" t="s">
        <v>204</v>
      </c>
    </row>
    <row r="28" customFormat="false" ht="23.85" hidden="false" customHeight="false" outlineLevel="0" collapsed="false">
      <c r="A28" s="14" t="s">
        <v>41</v>
      </c>
      <c r="B28" s="9" t="s">
        <v>205</v>
      </c>
      <c r="C28" s="9" t="s">
        <v>206</v>
      </c>
      <c r="D28" s="9" t="s">
        <v>207</v>
      </c>
      <c r="E28" s="7" t="s">
        <v>79</v>
      </c>
      <c r="F28" s="7" t="s">
        <v>93</v>
      </c>
      <c r="G28" s="18" t="n">
        <f aca="false">F28-E28</f>
        <v>2</v>
      </c>
      <c r="H28" s="10" t="s">
        <v>17</v>
      </c>
      <c r="I28" s="9" t="s">
        <v>80</v>
      </c>
      <c r="J28" s="9" t="s">
        <v>208</v>
      </c>
      <c r="K28" s="9" t="s">
        <v>209</v>
      </c>
      <c r="L28" s="9" t="s">
        <v>210</v>
      </c>
    </row>
    <row r="29" customFormat="false" ht="23.85" hidden="false" customHeight="false" outlineLevel="0" collapsed="false">
      <c r="A29" s="14" t="s">
        <v>41</v>
      </c>
      <c r="B29" s="9" t="s">
        <v>211</v>
      </c>
      <c r="C29" s="9" t="s">
        <v>212</v>
      </c>
      <c r="D29" s="9" t="s">
        <v>213</v>
      </c>
      <c r="E29" s="7" t="s">
        <v>79</v>
      </c>
      <c r="F29" s="7" t="s">
        <v>93</v>
      </c>
      <c r="G29" s="18" t="n">
        <f aca="false">F29-E29</f>
        <v>2</v>
      </c>
      <c r="H29" s="11" t="s">
        <v>20</v>
      </c>
      <c r="I29" s="9" t="s">
        <v>80</v>
      </c>
      <c r="J29" s="9" t="s">
        <v>214</v>
      </c>
      <c r="K29" s="9" t="s">
        <v>215</v>
      </c>
      <c r="L29" s="9" t="s">
        <v>96</v>
      </c>
    </row>
  </sheetData>
  <autoFilter ref="A2:L29"/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2026-05-30T10:59:06Z</dcterms:created>
  <dc:creator>openpyxl</dc:creator>
  <dc:description/>
  <dc:language>en-US</dc:language>
  <cp:lastModifiedBy/>
  <dcterms:modified xsi:type="dcterms:W3CDTF">2026-05-30T10:59:06Z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